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lee/Documents/Dev/Vari/Corr Matrix/"/>
    </mc:Choice>
  </mc:AlternateContent>
  <xr:revisionPtr revIDLastSave="0" documentId="13_ncr:1_{BD866939-A2AB-224F-B71E-408FEF9C1F19}" xr6:coauthVersionLast="47" xr6:coauthVersionMax="47" xr10:uidLastSave="{00000000-0000-0000-0000-000000000000}"/>
  <bookViews>
    <workbookView xWindow="1100" yWindow="900" windowWidth="28040" windowHeight="17160" xr2:uid="{6B1FCAB0-79FF-4042-B1F7-7E4529162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8" i="1"/>
  <c r="G2" i="1"/>
  <c r="G3" i="1"/>
  <c r="G4" i="1"/>
  <c r="G5" i="1"/>
  <c r="G6" i="1"/>
  <c r="C6" i="1"/>
  <c r="C9" i="1"/>
  <c r="C10" i="1"/>
  <c r="C11" i="1"/>
  <c r="C12" i="1"/>
  <c r="C8" i="1"/>
  <c r="C2" i="1"/>
  <c r="C3" i="1"/>
  <c r="C4" i="1"/>
  <c r="C5" i="1"/>
</calcChain>
</file>

<file path=xl/sharedStrings.xml><?xml version="1.0" encoding="utf-8"?>
<sst xmlns="http://schemas.openxmlformats.org/spreadsheetml/2006/main" count="33" uniqueCount="26">
  <si>
    <t>BTC</t>
  </si>
  <si>
    <t>ETH</t>
  </si>
  <si>
    <t>Initial Price</t>
  </si>
  <si>
    <t>Entry Long $10,000</t>
  </si>
  <si>
    <t>Entry Short $10,000</t>
  </si>
  <si>
    <t>assume btc and eth moves exactly in tandem. My account will stay market neutral, same OI.</t>
  </si>
  <si>
    <t>Orders</t>
  </si>
  <si>
    <t>Price</t>
  </si>
  <si>
    <t>% per step</t>
  </si>
  <si>
    <t>tp1 ($2,000)</t>
  </si>
  <si>
    <t>tp2 ($2,000)</t>
  </si>
  <si>
    <t>tp3 ($2,000)</t>
  </si>
  <si>
    <t>tp4 ($2,000)</t>
  </si>
  <si>
    <t>tp5 ($2,000)</t>
  </si>
  <si>
    <t>limit buy1 ($2,000)</t>
  </si>
  <si>
    <t>limit buy2 ($2,000)</t>
  </si>
  <si>
    <t>limit buy3 ($2,000)</t>
  </si>
  <si>
    <t>limit buy5 ($2,000)</t>
  </si>
  <si>
    <t>limit buy4 ($2,000)</t>
  </si>
  <si>
    <t>there's a problem here -&gt; if I reach the top of band for BTC, yes I will tp everything, have profit, but zero BTC inventory.</t>
  </si>
  <si>
    <t>limit sell5 ($2,000)</t>
  </si>
  <si>
    <t>limit sell4 ($2,000)</t>
  </si>
  <si>
    <t>limit sell3 ($2,000)</t>
  </si>
  <si>
    <t>limit sell2 ($2,000)</t>
  </si>
  <si>
    <t>limit sell1 ($2,000)</t>
  </si>
  <si>
    <t>But then I will have total $20,000 short on ETH. What should I do, at this point?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</si>
</sst>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43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CCF9-19F7-4446-9AD9-017211721B7E}">
  <dimension ref="A1:H16"/>
  <sheetViews>
    <sheetView tabSelected="1" zoomScale="220" zoomScaleNormal="220" workbookViewId="0">
      <selection activeCell="H8" sqref="H8"/>
    </sheetView>
  </sheetViews>
  <sheetFormatPr baseColWidth="10" defaultRowHeight="16" x14ac:dyDescent="0.2"/>
  <cols>
    <col min="3" max="3" width="8" style="2" bestFit="1" customWidth="1"/>
    <col min="4" max="4" width="12.5" customWidth="1"/>
    <col min="7" max="7" width="9.5" bestFit="1" customWidth="1"/>
    <col min="8" max="8" width="13.1640625" customWidth="1"/>
  </cols>
  <sheetData>
    <row r="1" spans="1:8" x14ac:dyDescent="0.2">
      <c r="A1" t="s">
        <v>8</v>
      </c>
      <c r="B1" s="1">
        <v>1E-3</v>
      </c>
      <c r="C1" s="2" t="s">
        <v>7</v>
      </c>
      <c r="D1" t="s">
        <v>6</v>
      </c>
      <c r="F1" s="1">
        <v>2E-3</v>
      </c>
      <c r="G1" t="s">
        <v>7</v>
      </c>
      <c r="H1" t="s">
        <v>6</v>
      </c>
    </row>
    <row r="2" spans="1:8" x14ac:dyDescent="0.2">
      <c r="B2">
        <v>5</v>
      </c>
      <c r="C2" s="2">
        <f t="shared" ref="C2:C5" si="0">$C$7*(1+B2*$B$1)</f>
        <v>80399.999999999985</v>
      </c>
      <c r="D2" t="s">
        <v>20</v>
      </c>
      <c r="F2">
        <v>5</v>
      </c>
      <c r="G2" s="4">
        <f t="shared" ref="G2:G5" si="1">$G$7*(1+F2*$F$1)</f>
        <v>2323</v>
      </c>
      <c r="H2" t="s">
        <v>20</v>
      </c>
    </row>
    <row r="3" spans="1:8" x14ac:dyDescent="0.2">
      <c r="B3">
        <v>4</v>
      </c>
      <c r="C3" s="2">
        <f t="shared" si="0"/>
        <v>80320</v>
      </c>
      <c r="D3" t="s">
        <v>21</v>
      </c>
      <c r="F3">
        <v>4</v>
      </c>
      <c r="G3" s="4">
        <f t="shared" si="1"/>
        <v>2318.4</v>
      </c>
      <c r="H3" t="s">
        <v>21</v>
      </c>
    </row>
    <row r="4" spans="1:8" x14ac:dyDescent="0.2">
      <c r="B4">
        <v>3</v>
      </c>
      <c r="C4" s="2">
        <f t="shared" si="0"/>
        <v>80239.999999999985</v>
      </c>
      <c r="D4" t="s">
        <v>22</v>
      </c>
      <c r="F4">
        <v>3</v>
      </c>
      <c r="G4" s="4">
        <f t="shared" si="1"/>
        <v>2313.8000000000002</v>
      </c>
      <c r="H4" t="s">
        <v>22</v>
      </c>
    </row>
    <row r="5" spans="1:8" x14ac:dyDescent="0.2">
      <c r="B5">
        <v>2</v>
      </c>
      <c r="C5" s="2">
        <f t="shared" si="0"/>
        <v>80160</v>
      </c>
      <c r="D5" t="s">
        <v>23</v>
      </c>
      <c r="F5">
        <v>2</v>
      </c>
      <c r="G5" s="4">
        <f t="shared" si="1"/>
        <v>2309.1999999999998</v>
      </c>
      <c r="H5" t="s">
        <v>23</v>
      </c>
    </row>
    <row r="6" spans="1:8" x14ac:dyDescent="0.2">
      <c r="B6">
        <v>1</v>
      </c>
      <c r="C6" s="2">
        <f>$C$7*(1+B6*$B$1)</f>
        <v>80079.999999999985</v>
      </c>
      <c r="D6" t="s">
        <v>24</v>
      </c>
      <c r="F6">
        <v>1</v>
      </c>
      <c r="G6" s="4">
        <f>$G$7*(1+F6*$F$1)</f>
        <v>2304.6</v>
      </c>
      <c r="H6" t="s">
        <v>24</v>
      </c>
    </row>
    <row r="7" spans="1:8" x14ac:dyDescent="0.2">
      <c r="A7" t="s">
        <v>2</v>
      </c>
      <c r="B7" t="s">
        <v>0</v>
      </c>
      <c r="C7" s="2">
        <v>80000</v>
      </c>
      <c r="D7" t="s">
        <v>3</v>
      </c>
      <c r="F7" t="s">
        <v>1</v>
      </c>
      <c r="G7" s="2">
        <v>2300</v>
      </c>
      <c r="H7" t="s">
        <v>4</v>
      </c>
    </row>
    <row r="8" spans="1:8" x14ac:dyDescent="0.2">
      <c r="B8">
        <v>1</v>
      </c>
      <c r="C8" s="2">
        <f>$C$7*(1-B8*$B$1)</f>
        <v>79920</v>
      </c>
      <c r="D8" t="s">
        <v>14</v>
      </c>
      <c r="F8">
        <v>1</v>
      </c>
      <c r="G8" s="3">
        <f>$G$7*(1-F8*$F$1)</f>
        <v>2295.4</v>
      </c>
      <c r="H8" t="s">
        <v>9</v>
      </c>
    </row>
    <row r="9" spans="1:8" x14ac:dyDescent="0.2">
      <c r="B9">
        <v>2</v>
      </c>
      <c r="C9" s="2">
        <f t="shared" ref="C9:C12" si="2">$C$7*(1-B9*$B$1)</f>
        <v>79840</v>
      </c>
      <c r="D9" t="s">
        <v>15</v>
      </c>
      <c r="F9">
        <v>2</v>
      </c>
      <c r="G9" s="3">
        <f t="shared" ref="G9:G12" si="3">$G$7*(1-F9*$F$1)</f>
        <v>2290.8000000000002</v>
      </c>
      <c r="H9" t="s">
        <v>10</v>
      </c>
    </row>
    <row r="10" spans="1:8" x14ac:dyDescent="0.2">
      <c r="B10">
        <v>3</v>
      </c>
      <c r="C10" s="2">
        <f t="shared" si="2"/>
        <v>79760</v>
      </c>
      <c r="D10" t="s">
        <v>16</v>
      </c>
      <c r="F10">
        <v>3</v>
      </c>
      <c r="G10" s="3">
        <f t="shared" si="3"/>
        <v>2286.1999999999998</v>
      </c>
      <c r="H10" t="s">
        <v>11</v>
      </c>
    </row>
    <row r="11" spans="1:8" x14ac:dyDescent="0.2">
      <c r="B11">
        <v>4</v>
      </c>
      <c r="C11" s="2">
        <f t="shared" si="2"/>
        <v>79680</v>
      </c>
      <c r="D11" t="s">
        <v>18</v>
      </c>
      <c r="F11">
        <v>4</v>
      </c>
      <c r="G11" s="3">
        <f t="shared" si="3"/>
        <v>2281.6</v>
      </c>
      <c r="H11" t="s">
        <v>12</v>
      </c>
    </row>
    <row r="12" spans="1:8" x14ac:dyDescent="0.2">
      <c r="B12">
        <v>5</v>
      </c>
      <c r="C12" s="2">
        <f t="shared" si="2"/>
        <v>79600</v>
      </c>
      <c r="D12" t="s">
        <v>17</v>
      </c>
      <c r="F12">
        <v>5</v>
      </c>
      <c r="G12" s="3">
        <f t="shared" si="3"/>
        <v>2277</v>
      </c>
      <c r="H12" t="s">
        <v>13</v>
      </c>
    </row>
    <row r="14" spans="1:8" x14ac:dyDescent="0.2">
      <c r="A14" t="s">
        <v>5</v>
      </c>
    </row>
    <row r="15" spans="1:8" x14ac:dyDescent="0.2">
      <c r="A15" t="s">
        <v>19</v>
      </c>
    </row>
    <row r="16" spans="1:8" x14ac:dyDescent="0.2">
      <c r="A16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Chao Lee</dc:creator>
  <cp:lastModifiedBy>Jian Chao Lee</cp:lastModifiedBy>
  <dcterms:created xsi:type="dcterms:W3CDTF">2026-05-13T02:27:09Z</dcterms:created>
  <dcterms:modified xsi:type="dcterms:W3CDTF">2026-05-14T14:51:07Z</dcterms:modified>
</cp:coreProperties>
</file>